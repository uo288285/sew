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MotoGP-Desktop\php\"/>
    </mc:Choice>
  </mc:AlternateContent>
  <xr:revisionPtr revIDLastSave="0" documentId="13_ncr:9_{69C7BE44-0FE8-4F27-A4CB-16932AF2EFC8}" xr6:coauthVersionLast="47" xr6:coauthVersionMax="47" xr10:uidLastSave="{00000000-0000-0000-0000-000000000000}"/>
  <bookViews>
    <workbookView xWindow="-108" yWindow="-108" windowWidth="23256" windowHeight="12576" xr2:uid="{A856A19C-67C0-4677-BEB0-9E3AD0DAB124}"/>
  </bookViews>
  <sheets>
    <sheet name="TODASRESPUESTAS" sheetId="1" r:id="rId1"/>
  </sheets>
  <calcPr calcId="0"/>
</workbook>
</file>

<file path=xl/calcChain.xml><?xml version="1.0" encoding="utf-8"?>
<calcChain xmlns="http://schemas.openxmlformats.org/spreadsheetml/2006/main">
  <c r="C30" i="1" l="1"/>
  <c r="C77" i="1" s="1"/>
  <c r="D77" i="1"/>
  <c r="E77" i="1"/>
  <c r="B77" i="1"/>
  <c r="E32" i="1"/>
  <c r="E31" i="1"/>
  <c r="E30" i="1"/>
  <c r="E29" i="1"/>
  <c r="E28" i="1"/>
  <c r="E27" i="1"/>
  <c r="E26" i="1"/>
  <c r="E24" i="1"/>
  <c r="E23" i="1"/>
  <c r="E21" i="1"/>
  <c r="E20" i="1"/>
  <c r="E19" i="1"/>
  <c r="E18" i="1"/>
  <c r="E17" i="1"/>
  <c r="E15" i="1"/>
  <c r="E14" i="1"/>
  <c r="D32" i="1"/>
  <c r="D31" i="1"/>
  <c r="D30" i="1"/>
  <c r="D29" i="1"/>
  <c r="D28" i="1"/>
  <c r="D27" i="1"/>
  <c r="D26" i="1"/>
  <c r="D24" i="1"/>
  <c r="D23" i="1"/>
  <c r="D21" i="1"/>
  <c r="D20" i="1"/>
  <c r="D19" i="1"/>
  <c r="D18" i="1"/>
  <c r="D17" i="1"/>
  <c r="C17" i="1"/>
  <c r="D15" i="1"/>
  <c r="D14" i="1"/>
  <c r="C32" i="1"/>
  <c r="C31" i="1"/>
  <c r="C29" i="1"/>
  <c r="C28" i="1"/>
  <c r="C27" i="1"/>
  <c r="C26" i="1"/>
  <c r="C24" i="1"/>
  <c r="C23" i="1"/>
  <c r="C21" i="1"/>
  <c r="C20" i="1"/>
  <c r="C19" i="1"/>
  <c r="C18" i="1"/>
  <c r="C15" i="1"/>
  <c r="B15" i="1"/>
  <c r="C14" i="1"/>
  <c r="B14" i="1"/>
  <c r="B32" i="1"/>
  <c r="B30" i="1"/>
  <c r="B24" i="1"/>
  <c r="B21" i="1"/>
  <c r="B23" i="1"/>
  <c r="B26" i="1" l="1"/>
  <c r="B17" i="1"/>
  <c r="B27" i="1"/>
  <c r="B18" i="1"/>
  <c r="B28" i="1"/>
  <c r="B19" i="1"/>
  <c r="B29" i="1"/>
  <c r="B20" i="1"/>
  <c r="B31" i="1"/>
</calcChain>
</file>

<file path=xl/sharedStrings.xml><?xml version="1.0" encoding="utf-8"?>
<sst xmlns="http://schemas.openxmlformats.org/spreadsheetml/2006/main" count="154" uniqueCount="94">
  <si>
    <t>id_usuario</t>
  </si>
  <si>
    <t>profesion</t>
  </si>
  <si>
    <t>edad</t>
  </si>
  <si>
    <t>genero</t>
  </si>
  <si>
    <t>pericia_informatica</t>
  </si>
  <si>
    <t>dispositivo</t>
  </si>
  <si>
    <t>tiempo_segundos</t>
  </si>
  <si>
    <t>tarea_completada</t>
  </si>
  <si>
    <t>comentarios_usuario</t>
  </si>
  <si>
    <t>propuestas_mejora</t>
  </si>
  <si>
    <t>valoracion</t>
  </si>
  <si>
    <t>comentarios_facilitador</t>
  </si>
  <si>
    <t>respuesta_1</t>
  </si>
  <si>
    <t>respuesta_2</t>
  </si>
  <si>
    <t>respuesta_3</t>
  </si>
  <si>
    <t>respuesta_4</t>
  </si>
  <si>
    <t>respuesta_5</t>
  </si>
  <si>
    <t>respuesta_6</t>
  </si>
  <si>
    <t>respuesta_7</t>
  </si>
  <si>
    <t>respuesta_8</t>
  </si>
  <si>
    <t>respuesta_9</t>
  </si>
  <si>
    <t>respuesta_10</t>
  </si>
  <si>
    <t>Profesor</t>
  </si>
  <si>
    <t>Hombre</t>
  </si>
  <si>
    <t>tableta</t>
  </si>
  <si>
    <t>Organizacion de la información del piloto puede mejorarse para encontrar la información mas facilmente. Fecha de la carrera no sale como tal.</t>
  </si>
  <si>
    <t>Incluir fecha de la carrera y reorganizar información en piloto</t>
  </si>
  <si>
    <t>Incluir la fecha de la carrera en meteorología.html para que se pueda responder de forma correcta la pregunta.</t>
  </si>
  <si>
    <t>Figueres</t>
  </si>
  <si>
    <t>Malasia</t>
  </si>
  <si>
    <t>Alex Marquez</t>
  </si>
  <si>
    <t>Marc Marquez</t>
  </si>
  <si>
    <t>40 min 09 s</t>
  </si>
  <si>
    <t>una curva doble</t>
  </si>
  <si>
    <t>malayo</t>
  </si>
  <si>
    <t>Administrativo</t>
  </si>
  <si>
    <t>ordenador</t>
  </si>
  <si>
    <t>Una aplicación interesante para conocer la vida de Maverick Viñales.</t>
  </si>
  <si>
    <t>En el apartado de Circuito tener que cargar los archivos dificulta la utilización de la aplicación.</t>
  </si>
  <si>
    <t>Tengo que modificar el test para que no aparezcan las respuestas de anteriores intentos. La ayuda ha servido para que el usuario encuentre la definición de chicane.</t>
  </si>
  <si>
    <t>Figueres, España</t>
  </si>
  <si>
    <t>Curva pronunciada</t>
  </si>
  <si>
    <t>kualalumpurense</t>
  </si>
  <si>
    <t>Estudiante</t>
  </si>
  <si>
    <t>telefono</t>
  </si>
  <si>
    <t>los archivos deberían estar dentro de la propia pagina web</t>
  </si>
  <si>
    <t>no deberian de salir las respuestas completadas por otros usuarios</t>
  </si>
  <si>
    <t>Cambiar lo de las respuestas del test al finalizar la tanda, al usar el dispositivo móvil fue capaz de encontrar las respuestas de forma rápida.</t>
  </si>
  <si>
    <t>Malasi</t>
  </si>
  <si>
    <t>Malayo</t>
  </si>
  <si>
    <t>Higienista dental</t>
  </si>
  <si>
    <t>Mujer</t>
  </si>
  <si>
    <t>Muy intuitiva.</t>
  </si>
  <si>
    <t>Es facil no cambiaria nada.</t>
  </si>
  <si>
    <t>La ayuda solucionó bastantes dudas a la hora de responder, el test fue lento pero seguro.</t>
  </si>
  <si>
    <t>Figueres España</t>
  </si>
  <si>
    <t>Aplicación sencilla</t>
  </si>
  <si>
    <t>Cambiaría las preguntas del test para hacerlo más complicado</t>
  </si>
  <si>
    <t>Todo correcto, se resolvió el test bastante rápido</t>
  </si>
  <si>
    <t>Figueres,España</t>
  </si>
  <si>
    <t>Marc Márquez</t>
  </si>
  <si>
    <t>2025-10-26.</t>
  </si>
  <si>
    <t>Intuitiva para responder las preguntas.</t>
  </si>
  <si>
    <t>Usar otro color en lugar del amarillo para los titulos</t>
  </si>
  <si>
    <t>Todo correcto, pudo ver numerosas respuestas en la misma página ya que leyó rápidamente todas antes de empezar a contestar.</t>
  </si>
  <si>
    <t>Alex Márquez</t>
  </si>
  <si>
    <t>Buena aplicación sobre la MotoGP</t>
  </si>
  <si>
    <t>Quizás intercambiaría el orden de las preguntas ya que mucha información estaba en la misma página, la que se abría desde el ordenador.</t>
  </si>
  <si>
    <t>De nuevo encuentran la información de forma sencilla sin usar ayuda, hay muchas respuestas en circuito.html</t>
  </si>
  <si>
    <t>PORCENTAJE</t>
  </si>
  <si>
    <t>HOMBRE</t>
  </si>
  <si>
    <t>MUJER</t>
  </si>
  <si>
    <t>TOTAL</t>
  </si>
  <si>
    <t xml:space="preserve">TANDA 1 </t>
  </si>
  <si>
    <t>PERSONAS</t>
  </si>
  <si>
    <t>MEDIA EDAD</t>
  </si>
  <si>
    <t>TIEMPO MEDIO</t>
  </si>
  <si>
    <t>%COMPLETADO</t>
  </si>
  <si>
    <t>VALORACION MEDIA</t>
  </si>
  <si>
    <t>INTERVALO EDAD</t>
  </si>
  <si>
    <t>GENERO</t>
  </si>
  <si>
    <t>INTERVALO PERICIA</t>
  </si>
  <si>
    <t>[5-7)</t>
  </si>
  <si>
    <t>[7-10]</t>
  </si>
  <si>
    <t>[3-5)</t>
  </si>
  <si>
    <t>[0-3)</t>
  </si>
  <si>
    <t xml:space="preserve"> [0-20)</t>
  </si>
  <si>
    <t>[20-30)</t>
  </si>
  <si>
    <t>[30-40)</t>
  </si>
  <si>
    <t>[40-65)</t>
  </si>
  <si>
    <t>[65-</t>
  </si>
  <si>
    <t>TANDA 2</t>
  </si>
  <si>
    <t>TANDA 3</t>
  </si>
  <si>
    <t>PREGUNTAS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</si>
</sst>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1" applyFont="1"/>
    <xf numFmtId="16" fontId="0" fillId="0" borderId="0" xfId="0" applyNumberForma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HISTOGRAMA DE FRECUENCIAS DE % EDAD TANDA1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TODASRESPUESTAS!$B$16</c:f>
              <c:strCache>
                <c:ptCount val="1"/>
                <c:pt idx="0">
                  <c:v>PORCENTAJE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TODASRESPUESTAS!$A$17:$A$21</c:f>
              <c:strCache>
                <c:ptCount val="5"/>
                <c:pt idx="0">
                  <c:v> [0-20)</c:v>
                </c:pt>
                <c:pt idx="1">
                  <c:v>[20-30)</c:v>
                </c:pt>
                <c:pt idx="2">
                  <c:v>[30-40)</c:v>
                </c:pt>
                <c:pt idx="3">
                  <c:v>[40-65)</c:v>
                </c:pt>
                <c:pt idx="4">
                  <c:v>[65-</c:v>
                </c:pt>
              </c:strCache>
            </c:strRef>
          </c:cat>
          <c:val>
            <c:numRef>
              <c:f>TODASRESPUESTAS!$B$17:$B$21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8-41B8-A74B-B8726F589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819942671"/>
        <c:axId val="819916751"/>
      </c:barChart>
      <c:catAx>
        <c:axId val="819942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INTERVALO DE EDAD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9916751"/>
        <c:crosses val="autoZero"/>
        <c:auto val="1"/>
        <c:lblAlgn val="ctr"/>
        <c:lblOffset val="100"/>
        <c:noMultiLvlLbl val="0"/>
      </c:catAx>
      <c:valAx>
        <c:axId val="81991675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9942671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PORCENTAJE DE GÉNERO TANDA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TODASRESPUESTAS!$B$22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F5D-4C59-A4E3-09A116BB5C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TODASRESPUESTAS!$A$23:$A$24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TODASRESPUESTAS!$B$23:$B$24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D-4C59-A4E3-09A116BB5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59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HISTOGRAMA DE FRECUENCIAS DE % PERICIA TANDA1</a:t>
            </a:r>
          </a:p>
        </c:rich>
      </c:tx>
      <c:layout>
        <c:manualLayout>
          <c:xMode val="edge"/>
          <c:yMode val="edge"/>
          <c:x val="0.11989566929133856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TODASRESPUESTAS!$B$25</c:f>
              <c:strCache>
                <c:ptCount val="1"/>
                <c:pt idx="0">
                  <c:v>PORCENTAJE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TODASRESPUESTAS!$A$26:$A$29</c:f>
              <c:strCache>
                <c:ptCount val="4"/>
                <c:pt idx="0">
                  <c:v>[0-3)</c:v>
                </c:pt>
                <c:pt idx="1">
                  <c:v>[3-5)</c:v>
                </c:pt>
                <c:pt idx="2">
                  <c:v>[5-7)</c:v>
                </c:pt>
                <c:pt idx="3">
                  <c:v>[7-10]</c:v>
                </c:pt>
              </c:strCache>
            </c:strRef>
          </c:cat>
          <c:val>
            <c:numRef>
              <c:f>TODASRESPUESTAS!$B$26:$B$29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8-46AE-B401-8EC263920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819941231"/>
        <c:axId val="819932591"/>
      </c:barChart>
      <c:catAx>
        <c:axId val="819941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INTERVALO PERICIA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9932591"/>
        <c:crosses val="autoZero"/>
        <c:auto val="1"/>
        <c:lblAlgn val="ctr"/>
        <c:lblOffset val="100"/>
        <c:noMultiLvlLbl val="0"/>
      </c:catAx>
      <c:valAx>
        <c:axId val="8199325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9941231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HISTOGRAMA DE FRECUENCIAS DE % EDAD TANDA2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TODASRESPUESTAS!$A$17:$A$21</c:f>
              <c:strCache>
                <c:ptCount val="5"/>
                <c:pt idx="0">
                  <c:v> [0-20)</c:v>
                </c:pt>
                <c:pt idx="1">
                  <c:v>[20-30)</c:v>
                </c:pt>
                <c:pt idx="2">
                  <c:v>[30-40)</c:v>
                </c:pt>
                <c:pt idx="3">
                  <c:v>[40-65)</c:v>
                </c:pt>
                <c:pt idx="4">
                  <c:v>[65-</c:v>
                </c:pt>
              </c:strCache>
            </c:strRef>
          </c:cat>
          <c:val>
            <c:numRef>
              <c:f>TODASRESPUESTAS!$C$17:$C$21</c:f>
              <c:numCache>
                <c:formatCode>0%</c:formatCode>
                <c:ptCount val="5"/>
                <c:pt idx="0">
                  <c:v>0.33333333333333331</c:v>
                </c:pt>
                <c:pt idx="1">
                  <c:v>0</c:v>
                </c:pt>
                <c:pt idx="2">
                  <c:v>0</c:v>
                </c:pt>
                <c:pt idx="3">
                  <c:v>0.66666666666666663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A-43A8-B7F9-77DBDE156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819970511"/>
        <c:axId val="819953711"/>
      </c:barChart>
      <c:catAx>
        <c:axId val="819970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INTERVALO</a:t>
                </a:r>
                <a:r>
                  <a:rPr lang="es-ES" baseline="0"/>
                  <a:t> DE EDAD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9953711"/>
        <c:crosses val="autoZero"/>
        <c:auto val="1"/>
        <c:lblAlgn val="ctr"/>
        <c:lblOffset val="100"/>
        <c:noMultiLvlLbl val="0"/>
      </c:catAx>
      <c:valAx>
        <c:axId val="81995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997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HISTOGRAMA DE FRECUENCIAS DE % PERICIA TANDA2</a:t>
            </a:r>
          </a:p>
        </c:rich>
      </c:tx>
      <c:layout>
        <c:manualLayout>
          <c:xMode val="edge"/>
          <c:yMode val="edge"/>
          <c:x val="0.12449092097688533"/>
          <c:y val="1.7508027232636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0621209113566686"/>
          <c:y val="0.22635787329862461"/>
          <c:w val="0.83736103932954331"/>
          <c:h val="0.6017164290927722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TODASRESPUESTAS!$A$26:$A$29</c:f>
              <c:strCache>
                <c:ptCount val="4"/>
                <c:pt idx="0">
                  <c:v>[0-3)</c:v>
                </c:pt>
                <c:pt idx="1">
                  <c:v>[3-5)</c:v>
                </c:pt>
                <c:pt idx="2">
                  <c:v>[5-7)</c:v>
                </c:pt>
                <c:pt idx="3">
                  <c:v>[7-10]</c:v>
                </c:pt>
              </c:strCache>
            </c:strRef>
          </c:cat>
          <c:val>
            <c:numRef>
              <c:f>TODASRESPUESTAS!$C$26:$C$29</c:f>
              <c:numCache>
                <c:formatCode>0%</c:formatCode>
                <c:ptCount val="4"/>
                <c:pt idx="0">
                  <c:v>0</c:v>
                </c:pt>
                <c:pt idx="1">
                  <c:v>0.33333333333333331</c:v>
                </c:pt>
                <c:pt idx="2">
                  <c:v>0.66666666666666663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2-438C-8F38-70B24C684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-27"/>
        <c:axId val="819927311"/>
        <c:axId val="819920591"/>
      </c:barChart>
      <c:catAx>
        <c:axId val="819927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INTERVALO DE PERICIA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9920591"/>
        <c:crosses val="autoZero"/>
        <c:auto val="1"/>
        <c:lblAlgn val="ctr"/>
        <c:lblOffset val="100"/>
        <c:noMultiLvlLbl val="0"/>
      </c:catAx>
      <c:valAx>
        <c:axId val="81992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992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PORCENTAJE DE GÉNERO TANDA 2</a:t>
            </a:r>
          </a:p>
        </c:rich>
      </c:tx>
      <c:layout>
        <c:manualLayout>
          <c:xMode val="edge"/>
          <c:yMode val="edge"/>
          <c:x val="0.15698475646748539"/>
          <c:y val="5.9347181008902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CC-4E29-8601-58AA97D9F0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CC-4E29-8601-58AA97D9F092}"/>
              </c:ext>
            </c:extLst>
          </c:dPt>
          <c:dLbls>
            <c:dLbl>
              <c:idx val="0"/>
              <c:layout>
                <c:manualLayout>
                  <c:x val="1.5980076354092102E-2"/>
                  <c:y val="-3.215998709381185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CC-4E29-8601-58AA97D9F092}"/>
                </c:ext>
              </c:extLst>
            </c:dLbl>
            <c:dLbl>
              <c:idx val="1"/>
              <c:layout>
                <c:manualLayout>
                  <c:x val="1.564165274795196E-2"/>
                  <c:y val="-3.060503961827466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CC-4E29-8601-58AA97D9F0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TODASRESPUESTAS!$A$23:$A$24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TODASRESPUESTAS!$C$23:$C$24</c:f>
              <c:numCache>
                <c:formatCode>0%</c:formatCode>
                <c:ptCount val="2"/>
                <c:pt idx="0">
                  <c:v>0.66666666666666663</c:v>
                </c:pt>
                <c:pt idx="1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CC-4E29-8601-58AA97D9F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HISTOGRAMA DE FRECUENCIAS DE % EDAD TANDA3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TODASRESPUESTAS!$A$17:$A$21</c:f>
              <c:strCache>
                <c:ptCount val="5"/>
                <c:pt idx="0">
                  <c:v> [0-20)</c:v>
                </c:pt>
                <c:pt idx="1">
                  <c:v>[20-30)</c:v>
                </c:pt>
                <c:pt idx="2">
                  <c:v>[30-40)</c:v>
                </c:pt>
                <c:pt idx="3">
                  <c:v>[40-65)</c:v>
                </c:pt>
                <c:pt idx="4">
                  <c:v>[65-</c:v>
                </c:pt>
              </c:strCache>
            </c:strRef>
          </c:cat>
          <c:val>
            <c:numRef>
              <c:f>TODASRESPUESTAS!$D$17:$D$21</c:f>
              <c:numCache>
                <c:formatCode>0%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2-4BF2-89B3-EB3236B01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819950831"/>
        <c:axId val="819955631"/>
      </c:barChart>
      <c:catAx>
        <c:axId val="819950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INTERVALO DE EDAD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9955631"/>
        <c:crosses val="autoZero"/>
        <c:auto val="1"/>
        <c:lblAlgn val="ctr"/>
        <c:lblOffset val="100"/>
        <c:noMultiLvlLbl val="0"/>
      </c:catAx>
      <c:valAx>
        <c:axId val="81995563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9950831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PORCENTAJE DE GÉNERO TANDA 3</a:t>
            </a:r>
          </a:p>
        </c:rich>
      </c:tx>
      <c:layout>
        <c:manualLayout>
          <c:xMode val="edge"/>
          <c:yMode val="edge"/>
          <c:x val="0.24977134214155433"/>
          <c:y val="5.0537326901933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02-48BD-BA5D-9E4D5DC65F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02-48BD-BA5D-9E4D5DC65F32}"/>
              </c:ext>
            </c:extLst>
          </c:dPt>
          <c:dLbls>
            <c:dLbl>
              <c:idx val="0"/>
              <c:layout>
                <c:manualLayout>
                  <c:x val="1.1366386405089194E-2"/>
                  <c:y val="-3.416966946928243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02-48BD-BA5D-9E4D5DC65F32}"/>
                </c:ext>
              </c:extLst>
            </c:dLbl>
            <c:dLbl>
              <c:idx val="1"/>
              <c:layout>
                <c:manualLayout>
                  <c:x val="2.9656345922861337E-2"/>
                  <c:y val="-3.463486555705960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02-48BD-BA5D-9E4D5DC65F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TODASRESPUESTAS!$A$23:$A$24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TODASRESPUESTAS!$D$23:$D$24</c:f>
              <c:numCache>
                <c:formatCode>0%</c:formatCode>
                <c:ptCount val="2"/>
                <c:pt idx="0">
                  <c:v>0.66666666666666663</c:v>
                </c:pt>
                <c:pt idx="1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02-48BD-BA5D-9E4D5DC65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5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HISTOGRAMA DE FRECUENCIAS DE % PERICIA TANDA3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TODASRESPUESTAS!$A$26:$A$29</c:f>
              <c:strCache>
                <c:ptCount val="4"/>
                <c:pt idx="0">
                  <c:v>[0-3)</c:v>
                </c:pt>
                <c:pt idx="1">
                  <c:v>[3-5)</c:v>
                </c:pt>
                <c:pt idx="2">
                  <c:v>[5-7)</c:v>
                </c:pt>
                <c:pt idx="3">
                  <c:v>[7-10]</c:v>
                </c:pt>
              </c:strCache>
            </c:strRef>
          </c:cat>
          <c:val>
            <c:numRef>
              <c:f>TODASRESPUESTAS!$D$26:$D$29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D-4D88-87A2-89616A78B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819957071"/>
        <c:axId val="819960911"/>
      </c:barChart>
      <c:catAx>
        <c:axId val="819957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INTERVALO DE PERICIA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9960911"/>
        <c:crosses val="autoZero"/>
        <c:auto val="1"/>
        <c:lblAlgn val="ctr"/>
        <c:lblOffset val="100"/>
        <c:noMultiLvlLbl val="0"/>
      </c:catAx>
      <c:valAx>
        <c:axId val="8199609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9957071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PORCENTAJE DE GÉNERO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94-4F7C-96D3-AF1CCAF3AD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594-4F7C-96D3-AF1CCAF3AD63}"/>
              </c:ext>
            </c:extLst>
          </c:dPt>
          <c:dLbls>
            <c:dLbl>
              <c:idx val="0"/>
              <c:layout>
                <c:manualLayout>
                  <c:x val="2.1251054555680542E-2"/>
                  <c:y val="-0.212418343540390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94-4F7C-96D3-AF1CCAF3AD63}"/>
                </c:ext>
              </c:extLst>
            </c:dLbl>
            <c:dLbl>
              <c:idx val="1"/>
              <c:layout>
                <c:manualLayout>
                  <c:x val="1.5509975315585551E-2"/>
                  <c:y val="1.38553514144064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94-4F7C-96D3-AF1CCAF3AD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TODASRESPUESTAS!$A$23:$A$24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TODASRESPUESTAS!$E$23:$E$24</c:f>
              <c:numCache>
                <c:formatCode>0%</c:formatCode>
                <c:ptCount val="2"/>
                <c:pt idx="0">
                  <c:v>0.7142857142857143</c:v>
                </c:pt>
                <c:pt idx="1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4-4F7C-96D3-AF1CCAF3A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HISTOGRAMA DE FRECUENCIAS DE % PERICIA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TODASRESPUESTAS!$A$26:$A$29</c:f>
              <c:strCache>
                <c:ptCount val="4"/>
                <c:pt idx="0">
                  <c:v>[0-3)</c:v>
                </c:pt>
                <c:pt idx="1">
                  <c:v>[3-5)</c:v>
                </c:pt>
                <c:pt idx="2">
                  <c:v>[5-7)</c:v>
                </c:pt>
                <c:pt idx="3">
                  <c:v>[7-10]</c:v>
                </c:pt>
              </c:strCache>
            </c:strRef>
          </c:cat>
          <c:val>
            <c:numRef>
              <c:f>TODASRESPUESTAS!$E$26:$E$29</c:f>
              <c:numCache>
                <c:formatCode>0%</c:formatCode>
                <c:ptCount val="4"/>
                <c:pt idx="0">
                  <c:v>0</c:v>
                </c:pt>
                <c:pt idx="1">
                  <c:v>0.14285714285714285</c:v>
                </c:pt>
                <c:pt idx="2">
                  <c:v>0.2857142857142857</c:v>
                </c:pt>
                <c:pt idx="3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4-4770-BD4A-F1FD817EB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overlap val="-27"/>
        <c:axId val="819878831"/>
        <c:axId val="819879791"/>
      </c:barChart>
      <c:catAx>
        <c:axId val="819878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INTERVALO DE PERICIA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9879791"/>
        <c:crosses val="autoZero"/>
        <c:auto val="1"/>
        <c:lblAlgn val="ctr"/>
        <c:lblOffset val="100"/>
        <c:noMultiLvlLbl val="0"/>
      </c:catAx>
      <c:valAx>
        <c:axId val="81987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987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GRÁFICO DE CUATRO LÍNEAS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TODASRESPUESTAS!$B$75</c:f>
              <c:strCache>
                <c:ptCount val="1"/>
                <c:pt idx="0">
                  <c:v>TANDA 1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TODASRESPUESTAS!$A$76:$A$77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cat>
          <c:val>
            <c:numRef>
              <c:f>TODASRESPUESTAS!$B$76:$B$77</c:f>
              <c:numCache>
                <c:formatCode>General</c:formatCode>
                <c:ptCount val="2"/>
                <c:pt idx="0">
                  <c:v>0</c:v>
                </c:pt>
                <c:pt idx="1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D8-4F9F-A8D1-ACBA748F1A01}"/>
            </c:ext>
          </c:extLst>
        </c:ser>
        <c:ser>
          <c:idx val="2"/>
          <c:order val="1"/>
          <c:tx>
            <c:strRef>
              <c:f>TODASRESPUESTAS!$C$75</c:f>
              <c:strCache>
                <c:ptCount val="1"/>
                <c:pt idx="0">
                  <c:v>TANDA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TODASRESPUESTAS!$A$76:$A$77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cat>
          <c:val>
            <c:numRef>
              <c:f>TODASRESPUESTAS!$C$76:$C$77</c:f>
              <c:numCache>
                <c:formatCode>General</c:formatCode>
                <c:ptCount val="2"/>
                <c:pt idx="0">
                  <c:v>0</c:v>
                </c:pt>
                <c:pt idx="1">
                  <c:v>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D8-4F9F-A8D1-ACBA748F1A01}"/>
            </c:ext>
          </c:extLst>
        </c:ser>
        <c:ser>
          <c:idx val="3"/>
          <c:order val="2"/>
          <c:tx>
            <c:strRef>
              <c:f>TODASRESPUESTAS!$D$75</c:f>
              <c:strCache>
                <c:ptCount val="1"/>
                <c:pt idx="0">
                  <c:v>TANDA 3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8D8-4F9F-A8D1-ACBA748F1A01}"/>
              </c:ext>
            </c:extLst>
          </c:dPt>
          <c:cat>
            <c:numRef>
              <c:f>TODASRESPUESTAS!$A$76:$A$77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cat>
          <c:val>
            <c:numRef>
              <c:f>TODASRESPUESTAS!$D$76:$D$77</c:f>
              <c:numCache>
                <c:formatCode>General</c:formatCode>
                <c:ptCount val="2"/>
                <c:pt idx="0">
                  <c:v>0</c:v>
                </c:pt>
                <c:pt idx="1">
                  <c:v>146.66666666666666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D8-4F9F-A8D1-ACBA748F1A01}"/>
            </c:ext>
          </c:extLst>
        </c:ser>
        <c:ser>
          <c:idx val="4"/>
          <c:order val="3"/>
          <c:tx>
            <c:strRef>
              <c:f>TODASRESPUESTAS!$E$75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TODASRESPUESTAS!$A$76:$A$77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cat>
          <c:val>
            <c:numRef>
              <c:f>TODASRESPUESTAS!$E$76:$E$77</c:f>
              <c:numCache>
                <c:formatCode>General</c:formatCode>
                <c:ptCount val="2"/>
                <c:pt idx="0">
                  <c:v>0</c:v>
                </c:pt>
                <c:pt idx="1">
                  <c:v>290.71428571428572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D8-4F9F-A8D1-ACBA748F1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953231"/>
        <c:axId val="819967631"/>
      </c:lineChart>
      <c:catAx>
        <c:axId val="819953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PREGUNTAS</a:t>
                </a:r>
                <a:r>
                  <a:rPr lang="es-ES" baseline="0"/>
                  <a:t> RESPONDIDAS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9967631"/>
        <c:crosses val="autoZero"/>
        <c:auto val="1"/>
        <c:lblAlgn val="ctr"/>
        <c:lblOffset val="100"/>
        <c:noMultiLvlLbl val="0"/>
      </c:catAx>
      <c:valAx>
        <c:axId val="81996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TIEMPO</a:t>
                </a:r>
                <a:r>
                  <a:rPr lang="es-ES" baseline="0"/>
                  <a:t> EN SEGUNDOS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9953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EVOLUCIÓN TIEMPO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TODASRESPUESTAS!$B$75:$E$75</c:f>
              <c:strCache>
                <c:ptCount val="4"/>
                <c:pt idx="0">
                  <c:v>TANDA 1 </c:v>
                </c:pt>
                <c:pt idx="1">
                  <c:v>TANDA 2</c:v>
                </c:pt>
                <c:pt idx="2">
                  <c:v>TANDA 3</c:v>
                </c:pt>
                <c:pt idx="3">
                  <c:v>TOTAL</c:v>
                </c:pt>
              </c:strCache>
            </c:strRef>
          </c:cat>
          <c:val>
            <c:numRef>
              <c:f>TODASRESPUESTAS!$B$77:$E$77</c:f>
              <c:numCache>
                <c:formatCode>General</c:formatCode>
                <c:ptCount val="4"/>
                <c:pt idx="0">
                  <c:v>143</c:v>
                </c:pt>
                <c:pt idx="1">
                  <c:v>484</c:v>
                </c:pt>
                <c:pt idx="2">
                  <c:v>146.66666666666666</c:v>
                </c:pt>
                <c:pt idx="3">
                  <c:v>290.71428571428572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A2-418B-9816-9A98BF0D3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923471"/>
        <c:axId val="819930191"/>
      </c:lineChart>
      <c:catAx>
        <c:axId val="81992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9930191"/>
        <c:crosses val="autoZero"/>
        <c:auto val="1"/>
        <c:lblAlgn val="ctr"/>
        <c:lblOffset val="100"/>
        <c:noMultiLvlLbl val="0"/>
      </c:catAx>
      <c:valAx>
        <c:axId val="81993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TIEMPO</a:t>
                </a:r>
                <a:r>
                  <a:rPr lang="es-ES" baseline="0"/>
                  <a:t> EN SEGUNDOS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992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HISTOGRAMA DE FRECUENCIAS DE % EDAD TOTAL</a:t>
            </a:r>
          </a:p>
        </c:rich>
      </c:tx>
      <c:layout>
        <c:manualLayout>
          <c:xMode val="edge"/>
          <c:yMode val="edge"/>
          <c:x val="0.1413372297534973"/>
          <c:y val="4.4742729306487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0369321991685346"/>
          <c:y val="0.16708316865797182"/>
          <c:w val="0.87329406824146982"/>
          <c:h val="0.6413859609401859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TODASRESPUESTAS!$A$17:$A$21</c:f>
              <c:strCache>
                <c:ptCount val="5"/>
                <c:pt idx="0">
                  <c:v> [0-20)</c:v>
                </c:pt>
                <c:pt idx="1">
                  <c:v>[20-30)</c:v>
                </c:pt>
                <c:pt idx="2">
                  <c:v>[30-40)</c:v>
                </c:pt>
                <c:pt idx="3">
                  <c:v>[40-65)</c:v>
                </c:pt>
                <c:pt idx="4">
                  <c:v>[65-</c:v>
                </c:pt>
              </c:strCache>
            </c:strRef>
          </c:cat>
          <c:val>
            <c:numRef>
              <c:f>TODASRESPUESTAS!$E$17:$E$21</c:f>
              <c:numCache>
                <c:formatCode>0%</c:formatCode>
                <c:ptCount val="5"/>
                <c:pt idx="0">
                  <c:v>0.14285714285714285</c:v>
                </c:pt>
                <c:pt idx="1">
                  <c:v>0.42857142857142855</c:v>
                </c:pt>
                <c:pt idx="2">
                  <c:v>0.14285714285714285</c:v>
                </c:pt>
                <c:pt idx="3">
                  <c:v>0.2857142857142857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4-41D1-A48F-E975FF077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axId val="819870191"/>
        <c:axId val="819857711"/>
      </c:barChart>
      <c:catAx>
        <c:axId val="819870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INTERVALO DE EDAD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9857711"/>
        <c:crosses val="autoZero"/>
        <c:auto val="1"/>
        <c:lblAlgn val="ctr"/>
        <c:lblOffset val="100"/>
        <c:noMultiLvlLbl val="0"/>
      </c:catAx>
      <c:valAx>
        <c:axId val="81985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987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32</xdr:row>
      <xdr:rowOff>72390</xdr:rowOff>
    </xdr:from>
    <xdr:to>
      <xdr:col>4</xdr:col>
      <xdr:colOff>685800</xdr:colOff>
      <xdr:row>44</xdr:row>
      <xdr:rowOff>53340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A77ECE-23A8-A010-9916-C31444977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167640</xdr:colOff>
      <xdr:row>33</xdr:row>
      <xdr:rowOff>102870</xdr:rowOff>
    </xdr:from>
    <xdr:to>
      <xdr:col>8</xdr:col>
      <xdr:colOff>662940</xdr:colOff>
      <xdr:row>42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69D6EE6-57FF-DA5A-112D-93D72CD35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1127760</xdr:colOff>
      <xdr:row>32</xdr:row>
      <xdr:rowOff>53340</xdr:rowOff>
    </xdr:from>
    <xdr:to>
      <xdr:col>8</xdr:col>
      <xdr:colOff>5074920</xdr:colOff>
      <xdr:row>45</xdr:row>
      <xdr:rowOff>95250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758D5A7-E008-A806-7075-553D3447A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1404887</xdr:colOff>
      <xdr:row>46</xdr:row>
      <xdr:rowOff>145983</xdr:rowOff>
    </xdr:from>
    <xdr:to>
      <xdr:col>8</xdr:col>
      <xdr:colOff>6112844</xdr:colOff>
      <xdr:row>57</xdr:row>
      <xdr:rowOff>172653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E35B5CC-DFAA-47AA-6D65-20CB83C0C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45</xdr:row>
      <xdr:rowOff>106680</xdr:rowOff>
    </xdr:from>
    <xdr:to>
      <xdr:col>4</xdr:col>
      <xdr:colOff>731520</xdr:colOff>
      <xdr:row>56</xdr:row>
      <xdr:rowOff>137160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EBDF277-A269-23CD-E292-09129DC70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378994</xdr:colOff>
      <xdr:row>46</xdr:row>
      <xdr:rowOff>120717</xdr:rowOff>
    </xdr:from>
    <xdr:to>
      <xdr:col>8</xdr:col>
      <xdr:colOff>517357</xdr:colOff>
      <xdr:row>55</xdr:row>
      <xdr:rowOff>88833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5DC388C-A9AE-4B9B-84FA-E43F77187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297180</xdr:colOff>
      <xdr:row>58</xdr:row>
      <xdr:rowOff>99060</xdr:rowOff>
    </xdr:from>
    <xdr:to>
      <xdr:col>5</xdr:col>
      <xdr:colOff>91440</xdr:colOff>
      <xdr:row>69</xdr:row>
      <xdr:rowOff>3810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C1CB0AF-1987-4EBE-924F-EDC385D9B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99060</xdr:colOff>
      <xdr:row>59</xdr:row>
      <xdr:rowOff>83820</xdr:rowOff>
    </xdr:from>
    <xdr:to>
      <xdr:col>8</xdr:col>
      <xdr:colOff>762000</xdr:colOff>
      <xdr:row>68</xdr:row>
      <xdr:rowOff>11430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3A30C1C6-F130-4CF8-8A89-073B75E68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2004060</xdr:colOff>
      <xdr:row>59</xdr:row>
      <xdr:rowOff>167640</xdr:rowOff>
    </xdr:from>
    <xdr:to>
      <xdr:col>8</xdr:col>
      <xdr:colOff>6050280</xdr:colOff>
      <xdr:row>73</xdr:row>
      <xdr:rowOff>53340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E291A767-E88A-4DE7-AB8C-F3B52BF18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3200400</xdr:colOff>
      <xdr:row>21</xdr:row>
      <xdr:rowOff>157614</xdr:rowOff>
    </xdr:from>
    <xdr:to>
      <xdr:col>8</xdr:col>
      <xdr:colOff>5759517</xdr:colOff>
      <xdr:row>29</xdr:row>
      <xdr:rowOff>66173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6DA3B894-395A-D9C3-6358-320B42FBB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6495850</xdr:colOff>
      <xdr:row>21</xdr:row>
      <xdr:rowOff>57751</xdr:rowOff>
    </xdr:from>
    <xdr:to>
      <xdr:col>9</xdr:col>
      <xdr:colOff>2695877</xdr:colOff>
      <xdr:row>32</xdr:row>
      <xdr:rowOff>103471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C76DEAFE-B28A-34D2-CE80-F830B3A4F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559870</xdr:colOff>
      <xdr:row>78</xdr:row>
      <xdr:rowOff>2006</xdr:rowOff>
    </xdr:from>
    <xdr:to>
      <xdr:col>8</xdr:col>
      <xdr:colOff>2678230</xdr:colOff>
      <xdr:row>92</xdr:row>
      <xdr:rowOff>129139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F7B6E8FE-7138-4B0A-9B53-938F1D27E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130342</xdr:colOff>
      <xdr:row>78</xdr:row>
      <xdr:rowOff>164031</xdr:rowOff>
    </xdr:from>
    <xdr:to>
      <xdr:col>5</xdr:col>
      <xdr:colOff>168442</xdr:colOff>
      <xdr:row>91</xdr:row>
      <xdr:rowOff>133551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A2F5D759-1AAB-4702-A61E-B02389144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541020</xdr:colOff>
      <xdr:row>21</xdr:row>
      <xdr:rowOff>0</xdr:rowOff>
    </xdr:from>
    <xdr:to>
      <xdr:col>8</xdr:col>
      <xdr:colOff>3048000</xdr:colOff>
      <xdr:row>31</xdr:row>
      <xdr:rowOff>144780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DAD0E4C9-D54F-4D51-8430-399288002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8BAB-B0A1-4F3C-9F05-4F6080719306}">
  <dimension ref="A1:V77"/>
  <sheetViews>
    <sheetView tabSelected="1" topLeftCell="A61" zoomScale="76" zoomScaleNormal="76" workbookViewId="0">
      <selection activeCell="J19" sqref="J19"/>
    </sheetView>
  </sheetViews>
  <sheetFormatPr baseColWidth="10" defaultRowHeight="14.4" x14ac:dyDescent="0.3"/>
  <cols>
    <col min="1" max="1" width="17.77734375" customWidth="1"/>
    <col min="5" max="5" width="16.77734375" customWidth="1"/>
    <col min="9" max="9" width="113.77734375" customWidth="1"/>
    <col min="10" max="10" width="109.88671875" customWidth="1"/>
    <col min="12" max="12" width="131.88671875" customWidth="1"/>
    <col min="13" max="13" width="18.6640625" customWidth="1"/>
    <col min="15" max="15" width="14.33203125" customWidth="1"/>
    <col min="16" max="16" width="14.77734375" customWidth="1"/>
    <col min="17" max="17" width="15.88671875" customWidth="1"/>
    <col min="20" max="20" width="21" customWidth="1"/>
    <col min="21" max="21" width="16.5546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>
        <v>39</v>
      </c>
      <c r="D2" t="s">
        <v>23</v>
      </c>
      <c r="E2">
        <v>10</v>
      </c>
      <c r="F2" t="s">
        <v>24</v>
      </c>
      <c r="G2">
        <v>143</v>
      </c>
      <c r="H2">
        <v>1</v>
      </c>
      <c r="I2" t="s">
        <v>25</v>
      </c>
      <c r="J2" t="s">
        <v>26</v>
      </c>
      <c r="K2">
        <v>9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s="1">
        <v>45956</v>
      </c>
      <c r="R2" t="s">
        <v>32</v>
      </c>
      <c r="S2">
        <v>2013</v>
      </c>
      <c r="T2" t="s">
        <v>33</v>
      </c>
      <c r="U2" t="s">
        <v>34</v>
      </c>
      <c r="V2">
        <v>1995</v>
      </c>
    </row>
    <row r="3" spans="1:22" x14ac:dyDescent="0.3">
      <c r="A3">
        <v>2</v>
      </c>
      <c r="B3" t="s">
        <v>35</v>
      </c>
      <c r="C3">
        <v>55</v>
      </c>
      <c r="D3" t="s">
        <v>23</v>
      </c>
      <c r="E3">
        <v>6</v>
      </c>
      <c r="F3" t="s">
        <v>36</v>
      </c>
      <c r="G3">
        <v>397</v>
      </c>
      <c r="H3">
        <v>1</v>
      </c>
      <c r="I3" t="s">
        <v>37</v>
      </c>
      <c r="J3" t="s">
        <v>38</v>
      </c>
      <c r="K3">
        <v>9</v>
      </c>
      <c r="L3" t="s">
        <v>39</v>
      </c>
      <c r="M3" t="s">
        <v>40</v>
      </c>
      <c r="N3" t="s">
        <v>29</v>
      </c>
      <c r="O3" t="s">
        <v>30</v>
      </c>
      <c r="P3" t="s">
        <v>31</v>
      </c>
      <c r="Q3" s="1">
        <v>45956</v>
      </c>
      <c r="R3" t="s">
        <v>32</v>
      </c>
      <c r="S3">
        <v>2013</v>
      </c>
      <c r="T3" t="s">
        <v>41</v>
      </c>
      <c r="U3" t="s">
        <v>42</v>
      </c>
      <c r="V3">
        <v>1995</v>
      </c>
    </row>
    <row r="4" spans="1:22" x14ac:dyDescent="0.3">
      <c r="A4">
        <v>3</v>
      </c>
      <c r="B4" t="s">
        <v>43</v>
      </c>
      <c r="C4">
        <v>17</v>
      </c>
      <c r="D4" t="s">
        <v>23</v>
      </c>
      <c r="E4">
        <v>6</v>
      </c>
      <c r="F4" t="s">
        <v>44</v>
      </c>
      <c r="G4">
        <v>221</v>
      </c>
      <c r="H4">
        <v>1</v>
      </c>
      <c r="I4" t="s">
        <v>45</v>
      </c>
      <c r="J4" t="s">
        <v>46</v>
      </c>
      <c r="K4">
        <v>8</v>
      </c>
      <c r="L4" t="s">
        <v>47</v>
      </c>
      <c r="M4" t="s">
        <v>40</v>
      </c>
      <c r="N4" t="s">
        <v>48</v>
      </c>
      <c r="O4" t="s">
        <v>30</v>
      </c>
      <c r="P4" t="s">
        <v>31</v>
      </c>
      <c r="Q4" s="1">
        <v>45956</v>
      </c>
      <c r="R4" t="s">
        <v>32</v>
      </c>
      <c r="S4">
        <v>2013</v>
      </c>
      <c r="T4" t="s">
        <v>41</v>
      </c>
      <c r="U4" t="s">
        <v>49</v>
      </c>
      <c r="V4">
        <v>1995</v>
      </c>
    </row>
    <row r="5" spans="1:22" x14ac:dyDescent="0.3">
      <c r="A5">
        <v>4</v>
      </c>
      <c r="B5" t="s">
        <v>50</v>
      </c>
      <c r="C5">
        <v>55</v>
      </c>
      <c r="D5" t="s">
        <v>51</v>
      </c>
      <c r="E5">
        <v>4</v>
      </c>
      <c r="F5" t="s">
        <v>24</v>
      </c>
      <c r="G5">
        <v>834</v>
      </c>
      <c r="H5">
        <v>1</v>
      </c>
      <c r="I5" t="s">
        <v>52</v>
      </c>
      <c r="J5" t="s">
        <v>53</v>
      </c>
      <c r="K5">
        <v>10</v>
      </c>
      <c r="L5" t="s">
        <v>54</v>
      </c>
      <c r="M5" t="s">
        <v>55</v>
      </c>
      <c r="N5" t="s">
        <v>29</v>
      </c>
      <c r="O5" t="s">
        <v>30</v>
      </c>
      <c r="P5" t="s">
        <v>31</v>
      </c>
      <c r="Q5" s="1">
        <v>45956</v>
      </c>
      <c r="R5" t="s">
        <v>32</v>
      </c>
      <c r="S5">
        <v>2013</v>
      </c>
      <c r="T5" t="s">
        <v>41</v>
      </c>
      <c r="U5" t="s">
        <v>42</v>
      </c>
      <c r="V5">
        <v>1995</v>
      </c>
    </row>
    <row r="6" spans="1:22" x14ac:dyDescent="0.3">
      <c r="A6">
        <v>5</v>
      </c>
      <c r="B6" t="s">
        <v>43</v>
      </c>
      <c r="C6">
        <v>21</v>
      </c>
      <c r="D6" t="s">
        <v>23</v>
      </c>
      <c r="E6">
        <v>7</v>
      </c>
      <c r="F6" t="s">
        <v>36</v>
      </c>
      <c r="G6">
        <v>146</v>
      </c>
      <c r="H6">
        <v>1</v>
      </c>
      <c r="I6" t="s">
        <v>56</v>
      </c>
      <c r="J6" t="s">
        <v>57</v>
      </c>
      <c r="K6">
        <v>8</v>
      </c>
      <c r="L6" t="s">
        <v>58</v>
      </c>
      <c r="M6" t="s">
        <v>59</v>
      </c>
      <c r="N6" t="s">
        <v>29</v>
      </c>
      <c r="O6" t="s">
        <v>30</v>
      </c>
      <c r="P6" t="s">
        <v>60</v>
      </c>
      <c r="Q6" t="s">
        <v>61</v>
      </c>
      <c r="R6" t="s">
        <v>32</v>
      </c>
      <c r="S6">
        <v>2013</v>
      </c>
      <c r="T6" t="s">
        <v>41</v>
      </c>
      <c r="U6" t="s">
        <v>42</v>
      </c>
      <c r="V6">
        <v>1995</v>
      </c>
    </row>
    <row r="7" spans="1:22" x14ac:dyDescent="0.3">
      <c r="A7">
        <v>6</v>
      </c>
      <c r="B7" t="s">
        <v>43</v>
      </c>
      <c r="C7">
        <v>21</v>
      </c>
      <c r="D7" t="s">
        <v>51</v>
      </c>
      <c r="E7">
        <v>7</v>
      </c>
      <c r="F7" t="s">
        <v>44</v>
      </c>
      <c r="G7">
        <v>136</v>
      </c>
      <c r="H7">
        <v>1</v>
      </c>
      <c r="I7" t="s">
        <v>62</v>
      </c>
      <c r="J7" t="s">
        <v>63</v>
      </c>
      <c r="K7">
        <v>9</v>
      </c>
      <c r="L7" t="s">
        <v>64</v>
      </c>
      <c r="M7" t="s">
        <v>59</v>
      </c>
      <c r="N7" t="s">
        <v>29</v>
      </c>
      <c r="O7" t="s">
        <v>65</v>
      </c>
      <c r="P7" t="s">
        <v>60</v>
      </c>
      <c r="Q7" s="1">
        <v>45956</v>
      </c>
      <c r="R7" t="s">
        <v>32</v>
      </c>
      <c r="S7">
        <v>2013</v>
      </c>
      <c r="T7" t="s">
        <v>41</v>
      </c>
      <c r="U7" t="s">
        <v>42</v>
      </c>
      <c r="V7">
        <v>1995</v>
      </c>
    </row>
    <row r="8" spans="1:22" x14ac:dyDescent="0.3">
      <c r="A8">
        <v>7</v>
      </c>
      <c r="B8" t="s">
        <v>43</v>
      </c>
      <c r="C8">
        <v>22</v>
      </c>
      <c r="D8" t="s">
        <v>23</v>
      </c>
      <c r="E8">
        <v>8</v>
      </c>
      <c r="F8" t="s">
        <v>24</v>
      </c>
      <c r="G8">
        <v>158</v>
      </c>
      <c r="H8">
        <v>1</v>
      </c>
      <c r="I8" t="s">
        <v>66</v>
      </c>
      <c r="J8" t="s">
        <v>67</v>
      </c>
      <c r="K8">
        <v>9</v>
      </c>
      <c r="L8" t="s">
        <v>68</v>
      </c>
      <c r="M8" t="s">
        <v>28</v>
      </c>
      <c r="N8" t="s">
        <v>29</v>
      </c>
      <c r="O8" t="s">
        <v>65</v>
      </c>
      <c r="P8" t="s">
        <v>60</v>
      </c>
      <c r="Q8" s="1">
        <v>45956</v>
      </c>
      <c r="R8" t="s">
        <v>32</v>
      </c>
      <c r="S8">
        <v>2013</v>
      </c>
      <c r="T8" t="s">
        <v>41</v>
      </c>
      <c r="U8" t="s">
        <v>42</v>
      </c>
      <c r="V8">
        <v>1995</v>
      </c>
    </row>
    <row r="13" spans="1:22" x14ac:dyDescent="0.3">
      <c r="B13" t="s">
        <v>73</v>
      </c>
      <c r="C13" t="s">
        <v>91</v>
      </c>
      <c r="D13" t="s">
        <v>92</v>
      </c>
      <c r="E13" t="s">
        <v>72</v>
      </c>
    </row>
    <row r="14" spans="1:22" x14ac:dyDescent="0.3">
      <c r="A14" t="s">
        <v>74</v>
      </c>
      <c r="B14">
        <f>COUNT(A2)</f>
        <v>1</v>
      </c>
      <c r="C14">
        <f>COUNT(A3:A5)</f>
        <v>3</v>
      </c>
      <c r="D14">
        <f>COUNT(A6:A8)</f>
        <v>3</v>
      </c>
      <c r="E14">
        <f>COUNT(A2:A8)</f>
        <v>7</v>
      </c>
    </row>
    <row r="15" spans="1:22" x14ac:dyDescent="0.3">
      <c r="A15" t="s">
        <v>75</v>
      </c>
      <c r="B15">
        <f>AVERAGE(C2)</f>
        <v>39</v>
      </c>
      <c r="C15">
        <f>AVERAGE(C3:C5)</f>
        <v>42.333333333333336</v>
      </c>
      <c r="D15">
        <f>AVERAGE(C6:C8)</f>
        <v>21.333333333333332</v>
      </c>
      <c r="E15">
        <f>AVERAGE(C2:C8)</f>
        <v>32.857142857142854</v>
      </c>
    </row>
    <row r="16" spans="1:22" x14ac:dyDescent="0.3">
      <c r="A16" t="s">
        <v>79</v>
      </c>
      <c r="B16" t="s">
        <v>69</v>
      </c>
      <c r="C16" t="s">
        <v>69</v>
      </c>
      <c r="D16" t="s">
        <v>69</v>
      </c>
      <c r="E16" t="s">
        <v>69</v>
      </c>
    </row>
    <row r="17" spans="1:5" x14ac:dyDescent="0.3">
      <c r="A17" t="s">
        <v>86</v>
      </c>
      <c r="B17" s="2">
        <f>COUNTIFS($C$2:$C$2,"&gt;=0",$C$2:$C$2,"&lt;20")/B14</f>
        <v>0</v>
      </c>
      <c r="C17" s="2">
        <f>COUNTIFS($C$3:$C$5,"&gt;=0",$C$3:$C$5,"&lt;20")/C14</f>
        <v>0.33333333333333331</v>
      </c>
      <c r="D17" s="2">
        <f>COUNTIFS(C6:C8,"&gt;=0",C6:C8,"&lt;20")/D14</f>
        <v>0</v>
      </c>
      <c r="E17" s="2">
        <f>COUNTIFS(C2:C8,"&gt;=0",C2:C8,"&lt;20")/E14</f>
        <v>0.14285714285714285</v>
      </c>
    </row>
    <row r="18" spans="1:5" x14ac:dyDescent="0.3">
      <c r="A18" t="s">
        <v>87</v>
      </c>
      <c r="B18" s="2">
        <f>COUNTIFS($C$2:$C$2,"&gt;=20",$C$2:$C$2,"&lt;30")/B14</f>
        <v>0</v>
      </c>
      <c r="C18" s="2">
        <f>COUNTIFS($C$3:$C$5,"&gt;=20",$C$3:$C$5,"&lt;30")/C14</f>
        <v>0</v>
      </c>
      <c r="D18" s="2">
        <f>COUNTIFS(C6:C8,"&gt;=20",C6:C8,"&lt;30")/D14</f>
        <v>1</v>
      </c>
      <c r="E18" s="2">
        <f>COUNTIFS(C2:C8,"&gt;=20",C2:C8,"&lt;30")/E14</f>
        <v>0.42857142857142855</v>
      </c>
    </row>
    <row r="19" spans="1:5" x14ac:dyDescent="0.3">
      <c r="A19" t="s">
        <v>88</v>
      </c>
      <c r="B19" s="2">
        <f>COUNTIFS($C$2:$C$2,"&gt;=30",$C$2:$C$2,"&lt;40")/B14</f>
        <v>1</v>
      </c>
      <c r="C19" s="2">
        <f>COUNTIFS($C$3:$C$5,"&gt;=30",$C$3:$C$5,"&lt;40")/C14</f>
        <v>0</v>
      </c>
      <c r="D19" s="2">
        <f>COUNTIFS(C6:C8,"&gt;=30",C6:C8,"&lt;40")/D14</f>
        <v>0</v>
      </c>
      <c r="E19" s="2">
        <f>COUNTIFS(C2:C8,"&gt;=30",C2:C8,"&lt;40")/E14</f>
        <v>0.14285714285714285</v>
      </c>
    </row>
    <row r="20" spans="1:5" x14ac:dyDescent="0.3">
      <c r="A20" t="s">
        <v>89</v>
      </c>
      <c r="B20" s="2">
        <f>COUNTIFS($C$2:$C$2,"&gt;=40",$C$2:$C$2,"&lt;65")/B14</f>
        <v>0</v>
      </c>
      <c r="C20" s="2">
        <f>COUNTIFS($C$3:$C$5,"&gt;=40",$C$3:$C$5,"&lt;65")/C14</f>
        <v>0.66666666666666663</v>
      </c>
      <c r="D20" s="2">
        <f>COUNTIFS(C6:C8,"&gt;=40",C6:C8,"&lt;65")/D14</f>
        <v>0</v>
      </c>
      <c r="E20" s="2">
        <f>COUNTIFS(C2:C8,"&gt;=40",C2:C8,"&lt;65")/E14</f>
        <v>0.2857142857142857</v>
      </c>
    </row>
    <row r="21" spans="1:5" x14ac:dyDescent="0.3">
      <c r="A21" t="s">
        <v>90</v>
      </c>
      <c r="B21" s="2">
        <f>COUNTIFS($C$2:$C$2,"&gt;=65")/B14</f>
        <v>0</v>
      </c>
      <c r="C21" s="2">
        <f>COUNTIFS($C$3:$C$5,"&gt;=65")/C14</f>
        <v>0</v>
      </c>
      <c r="D21" s="2">
        <f>COUNTIFS(C6:C8,"&gt;=65")/D14</f>
        <v>0</v>
      </c>
      <c r="E21" s="2">
        <f>COUNTIFS(C2:C8,"&gt;=65")/E14</f>
        <v>0</v>
      </c>
    </row>
    <row r="22" spans="1:5" x14ac:dyDescent="0.3">
      <c r="A22" t="s">
        <v>80</v>
      </c>
      <c r="B22" t="s">
        <v>69</v>
      </c>
      <c r="C22" t="s">
        <v>69</v>
      </c>
      <c r="D22" t="s">
        <v>69</v>
      </c>
      <c r="E22" t="s">
        <v>69</v>
      </c>
    </row>
    <row r="23" spans="1:5" x14ac:dyDescent="0.3">
      <c r="A23" t="s">
        <v>70</v>
      </c>
      <c r="B23" s="2">
        <f>COUNTIF(D2,"Hombre")/B14</f>
        <v>1</v>
      </c>
      <c r="C23" s="2">
        <f>COUNTIF(D3:D5,"Hombre")/C14</f>
        <v>0.66666666666666663</v>
      </c>
      <c r="D23" s="2">
        <f>COUNTIF(D6:D8,"Hombre")/D14</f>
        <v>0.66666666666666663</v>
      </c>
      <c r="E23" s="2">
        <f>COUNTIF(D2:D8,"Hombre")/E14</f>
        <v>0.7142857142857143</v>
      </c>
    </row>
    <row r="24" spans="1:5" x14ac:dyDescent="0.3">
      <c r="A24" t="s">
        <v>71</v>
      </c>
      <c r="B24" s="2">
        <f>COUNTIF(D2,"Mujer")/B14</f>
        <v>0</v>
      </c>
      <c r="C24" s="2">
        <f>COUNTIF(D3:D5,"Mujer")/C14</f>
        <v>0.33333333333333331</v>
      </c>
      <c r="D24" s="2">
        <f>COUNTIF(D6:D8,"Mujer")/D14</f>
        <v>0.33333333333333331</v>
      </c>
      <c r="E24" s="2">
        <f>COUNTIF(D2:D8,"Mujer")/E14</f>
        <v>0.2857142857142857</v>
      </c>
    </row>
    <row r="25" spans="1:5" x14ac:dyDescent="0.3">
      <c r="A25" t="s">
        <v>81</v>
      </c>
      <c r="B25" t="s">
        <v>69</v>
      </c>
      <c r="C25" t="s">
        <v>69</v>
      </c>
      <c r="D25" t="s">
        <v>69</v>
      </c>
      <c r="E25" t="s">
        <v>69</v>
      </c>
    </row>
    <row r="26" spans="1:5" x14ac:dyDescent="0.3">
      <c r="A26" t="s">
        <v>85</v>
      </c>
      <c r="B26" s="2">
        <f>COUNTIFS($E$2,"&gt;=0",$E$2,"&lt;3")/B14</f>
        <v>0</v>
      </c>
      <c r="C26" s="2">
        <f>COUNTIFS(E3:E5,"&gt;=0",E3:E5,"&lt;3")/C14</f>
        <v>0</v>
      </c>
      <c r="D26" s="2">
        <f>COUNTIFS(E6:E8,"&gt;=0",E6:E8,"&lt;3")/D14</f>
        <v>0</v>
      </c>
      <c r="E26" s="2">
        <f>COUNTIFS(E2:E8,"&gt;=0",E2:E8,"&lt;3")/E14</f>
        <v>0</v>
      </c>
    </row>
    <row r="27" spans="1:5" x14ac:dyDescent="0.3">
      <c r="A27" t="s">
        <v>84</v>
      </c>
      <c r="B27" s="2">
        <f>COUNTIFS($E$2,"&gt;=3",$E$2,"&lt;5")/B14</f>
        <v>0</v>
      </c>
      <c r="C27" s="2">
        <f>COUNTIFS(E3:E5,"&gt;=3",E3:E5,"&lt;5")/C14</f>
        <v>0.33333333333333331</v>
      </c>
      <c r="D27" s="2">
        <f>COUNTIFS(E6:E8,"&gt;=3",E6:E8,"&lt;5")/D14</f>
        <v>0</v>
      </c>
      <c r="E27" s="2">
        <f>COUNTIFS(E2:E8,"&gt;=3",E2:E8,"&lt;5")/E14</f>
        <v>0.14285714285714285</v>
      </c>
    </row>
    <row r="28" spans="1:5" x14ac:dyDescent="0.3">
      <c r="A28" s="3" t="s">
        <v>82</v>
      </c>
      <c r="B28" s="2">
        <f>COUNTIFS($E$2,"&gt;=5",$E$2,"&lt;7")/B14</f>
        <v>0</v>
      </c>
      <c r="C28" s="2">
        <f>COUNTIFS(E3:E5,"&gt;=5",E3:E5,"&lt;7")/C14</f>
        <v>0.66666666666666663</v>
      </c>
      <c r="D28" s="2">
        <f>COUNTIFS(E6:E8,"&gt;=5",E6:E8,"&lt;7")/D14</f>
        <v>0</v>
      </c>
      <c r="E28" s="2">
        <f>COUNTIFS(E2:E8,"&gt;=5",E2:E8,"&lt;7")/E14</f>
        <v>0.2857142857142857</v>
      </c>
    </row>
    <row r="29" spans="1:5" x14ac:dyDescent="0.3">
      <c r="A29" s="3" t="s">
        <v>83</v>
      </c>
      <c r="B29" s="2">
        <f>COUNTIFS($E$2,"&gt;=7",$E$2,"&lt;=10")/B14</f>
        <v>1</v>
      </c>
      <c r="C29" s="2">
        <f>COUNTIFS(E3:E5,"&gt;=7",E3:E5,"&lt;=10")/C14</f>
        <v>0</v>
      </c>
      <c r="D29" s="2">
        <f>COUNTIFS(E6:E8,"&gt;=7",E6:E8,"&lt;=10")/D14</f>
        <v>1</v>
      </c>
      <c r="E29" s="2">
        <f>COUNTIFS(E2:E8,"&gt;=7",E2:E8,"&lt;=10")/E14</f>
        <v>0.5714285714285714</v>
      </c>
    </row>
    <row r="30" spans="1:5" x14ac:dyDescent="0.3">
      <c r="A30" t="s">
        <v>76</v>
      </c>
      <c r="B30">
        <f>AVERAGE(G2)</f>
        <v>143</v>
      </c>
      <c r="C30">
        <f>AVERAGE(G3:G5)</f>
        <v>484</v>
      </c>
      <c r="D30">
        <f>AVERAGE(G6:G8)</f>
        <v>146.66666666666666</v>
      </c>
      <c r="E30">
        <f>AVERAGE(G2:G8)</f>
        <v>290.71428571428572</v>
      </c>
    </row>
    <row r="31" spans="1:5" x14ac:dyDescent="0.3">
      <c r="A31" t="s">
        <v>77</v>
      </c>
      <c r="B31" s="2">
        <f>COUNTIF(H2,1)/B14</f>
        <v>1</v>
      </c>
      <c r="C31" s="2">
        <f>COUNTIF(H3:H5,1)/C14</f>
        <v>1</v>
      </c>
      <c r="D31" s="2">
        <f>COUNTIF(H6:H8,1)/D14</f>
        <v>1</v>
      </c>
      <c r="E31" s="2">
        <f>COUNTIF(H2:H8,1)/E14</f>
        <v>1</v>
      </c>
    </row>
    <row r="32" spans="1:5" x14ac:dyDescent="0.3">
      <c r="A32" t="s">
        <v>78</v>
      </c>
      <c r="B32">
        <f>AVERAGE(K2)</f>
        <v>9</v>
      </c>
      <c r="C32">
        <f>AVERAGE(K3:K5)</f>
        <v>9</v>
      </c>
      <c r="D32">
        <f>AVERAGE(K6:K8)</f>
        <v>8.6666666666666661</v>
      </c>
      <c r="E32">
        <f>AVERAGE(K2:K8)</f>
        <v>8.8571428571428577</v>
      </c>
    </row>
    <row r="75" spans="1:5" x14ac:dyDescent="0.3">
      <c r="A75" t="s">
        <v>93</v>
      </c>
      <c r="B75" t="s">
        <v>73</v>
      </c>
      <c r="C75" t="s">
        <v>91</v>
      </c>
      <c r="D75" t="s">
        <v>92</v>
      </c>
      <c r="E75" t="s">
        <v>72</v>
      </c>
    </row>
    <row r="76" spans="1:5" x14ac:dyDescent="0.3">
      <c r="A76">
        <v>0</v>
      </c>
      <c r="B76">
        <v>0</v>
      </c>
      <c r="C76">
        <v>0</v>
      </c>
      <c r="D76">
        <v>0</v>
      </c>
      <c r="E76">
        <v>0</v>
      </c>
    </row>
    <row r="77" spans="1:5" x14ac:dyDescent="0.3">
      <c r="A77">
        <v>10</v>
      </c>
      <c r="B77">
        <f>B30</f>
        <v>143</v>
      </c>
      <c r="C77">
        <f>C30</f>
        <v>484</v>
      </c>
      <c r="D77">
        <f>D30</f>
        <v>146.66666666666666</v>
      </c>
      <c r="E77">
        <f>E30</f>
        <v>290.71428571428572</v>
      </c>
    </row>
  </sheetData>
  <pageMargins left="0.7" right="0.7" top="0.75" bottom="0.75" header="0.3" footer="0.3"/>
  <ignoredErrors>
    <ignoredError sqref="C14:C15 C26 C27:C29 C30:C32 D14:D15 D26:D29 D30:D32 D17:D21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TODASRESPUESTAS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</dc:creator>
  <cp:lastModifiedBy>Miguel Arias Guerrero</cp:lastModifiedBy>
  <dcterms:created xsi:type="dcterms:W3CDTF">2025-12-20T10:13:27Z</dcterms:created>
  <dcterms:modified xsi:type="dcterms:W3CDTF">2025-12-20T18:30:08Z</dcterms:modified>
</cp:coreProperties>
</file>